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-Q4 Budget" sheetId="1" state="visible" r:id="rId3"/>
    <sheet name="Expense Log" sheetId="2" state="visible" r:id="rId4"/>
  </sheets>
  <definedNames>
    <definedName function="false" hidden="true" localSheetId="1" name="_xlnm._FilterDatabase" vbProcedure="false">'Expense Log'!$A$2:$H$12</definedName>
    <definedName function="false" hidden="true" localSheetId="0" name="_xlnm._FilterDatabase" vbProcedure="false">'Q1-Q4 Budget'!$A$2:$M$10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<sst xmlns="http://schemas.openxmlformats.org/spreadsheetml/2006/main" count="109" uniqueCount="81">
  <si>
    <t xml:space="preserve">FY2024 BUDGET TRACKER — Finance Dept</t>
  </si>
  <si>
    <t xml:space="preserve">Cost Center</t>
  </si>
  <si>
    <t xml:space="preserve">Category</t>
  </si>
  <si>
    <t xml:space="preserve">Q1 Budget</t>
  </si>
  <si>
    <t xml:space="preserve">Q1 Actual</t>
  </si>
  <si>
    <t xml:space="preserve">Q2 Budget</t>
  </si>
  <si>
    <t xml:space="preserve">Q2 Actual</t>
  </si>
  <si>
    <t xml:space="preserve">Q3 Budget</t>
  </si>
  <si>
    <t xml:space="preserve">Q3 Actual</t>
  </si>
  <si>
    <t xml:space="preserve">Q4 Budget</t>
  </si>
  <si>
    <t xml:space="preserve">Q4 Actual</t>
  </si>
  <si>
    <t xml:space="preserve">Total Budget</t>
  </si>
  <si>
    <t xml:space="preserve">Total Actual</t>
  </si>
  <si>
    <t xml:space="preserve">Variance</t>
  </si>
  <si>
    <t xml:space="preserve">IT</t>
  </si>
  <si>
    <t xml:space="preserve">Software Licenses</t>
  </si>
  <si>
    <t xml:space="preserve">Hardware</t>
  </si>
  <si>
    <t xml:space="preserve">Marketing</t>
  </si>
  <si>
    <t xml:space="preserve">Advertising</t>
  </si>
  <si>
    <t xml:space="preserve">Events</t>
  </si>
  <si>
    <t xml:space="preserve">HR</t>
  </si>
  <si>
    <t xml:space="preserve">Recruitment</t>
  </si>
  <si>
    <t xml:space="preserve">Training</t>
  </si>
  <si>
    <t xml:space="preserve">Operations</t>
  </si>
  <si>
    <t xml:space="preserve">Utilities</t>
  </si>
  <si>
    <t xml:space="preserve">Supplies</t>
  </si>
  <si>
    <t xml:space="preserve">RAW EXPENSE LOG — unsorted, unfiltered</t>
  </si>
  <si>
    <t xml:space="preserve">Date</t>
  </si>
  <si>
    <t xml:space="preserve">Vendor</t>
  </si>
  <si>
    <t xml:space="preserve">Amount (PHP)</t>
  </si>
  <si>
    <t xml:space="preserve">Submitted By</t>
  </si>
  <si>
    <t xml:space="preserve">Approved</t>
  </si>
  <si>
    <t xml:space="preserve">Receipt #</t>
  </si>
  <si>
    <t xml:space="preserve">Notes</t>
  </si>
  <si>
    <t xml:space="preserve">2024-03-15</t>
  </si>
  <si>
    <t xml:space="preserve">SM Savemore</t>
  </si>
  <si>
    <t xml:space="preserve">Yap</t>
  </si>
  <si>
    <t xml:space="preserve">Yes</t>
  </si>
  <si>
    <t xml:space="preserve">RCP-001</t>
  </si>
  <si>
    <t xml:space="preserve">Office supplies Q1</t>
  </si>
  <si>
    <t xml:space="preserve">2024-07-22</t>
  </si>
  <si>
    <t xml:space="preserve">PLDT</t>
  </si>
  <si>
    <t xml:space="preserve">Ong</t>
  </si>
  <si>
    <t xml:space="preserve">RCP-002</t>
  </si>
  <si>
    <t xml:space="preserve">Internet bill July</t>
  </si>
  <si>
    <t xml:space="preserve">2024-01-10</t>
  </si>
  <si>
    <t xml:space="preserve">JobStreet</t>
  </si>
  <si>
    <t xml:space="preserve">Magno</t>
  </si>
  <si>
    <t xml:space="preserve">RCP-003</t>
  </si>
  <si>
    <t xml:space="preserve">Job posting Jan</t>
  </si>
  <si>
    <t xml:space="preserve">2024-11-05</t>
  </si>
  <si>
    <t xml:space="preserve">Shopwise</t>
  </si>
  <si>
    <t xml:space="preserve">RCP-004</t>
  </si>
  <si>
    <t xml:space="preserve">Breakroom items</t>
  </si>
  <si>
    <t xml:space="preserve">2024-09-18</t>
  </si>
  <si>
    <t xml:space="preserve">Meralco</t>
  </si>
  <si>
    <t xml:space="preserve">RCP-005</t>
  </si>
  <si>
    <t xml:space="preserve">Power bill Sept — HIGHEST of year</t>
  </si>
  <si>
    <t xml:space="preserve">2024-02-28</t>
  </si>
  <si>
    <t xml:space="preserve">Canva Pro</t>
  </si>
  <si>
    <t xml:space="preserve">Software</t>
  </si>
  <si>
    <t xml:space="preserve">Dela Rosa</t>
  </si>
  <si>
    <t xml:space="preserve">RCP-006</t>
  </si>
  <si>
    <t xml:space="preserve">Design tool annual</t>
  </si>
  <si>
    <t xml:space="preserve">2024-06-14</t>
  </si>
  <si>
    <t xml:space="preserve">Globe</t>
  </si>
  <si>
    <t xml:space="preserve">RCP-007</t>
  </si>
  <si>
    <t xml:space="preserve">Mobile data plan</t>
  </si>
  <si>
    <t xml:space="preserve">2024-08-30</t>
  </si>
  <si>
    <t xml:space="preserve">LinkedIn</t>
  </si>
  <si>
    <t xml:space="preserve">No</t>
  </si>
  <si>
    <t xml:space="preserve">RCP-008</t>
  </si>
  <si>
    <t xml:space="preserve">Premium — NOT YET APPROVED</t>
  </si>
  <si>
    <t xml:space="preserve">2024-04-05</t>
  </si>
  <si>
    <t xml:space="preserve">AWS</t>
  </si>
  <si>
    <t xml:space="preserve">Navarro</t>
  </si>
  <si>
    <t xml:space="preserve">RCP-009</t>
  </si>
  <si>
    <t xml:space="preserve">Cloud server April</t>
  </si>
  <si>
    <t xml:space="preserve">2024-12-01</t>
  </si>
  <si>
    <t xml:space="preserve">RCP-010</t>
  </si>
  <si>
    <t xml:space="preserve">Cloud server Dec — spike due to ERP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</si>
</sst>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80808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n">
        <v>120000</v>
      </c>
      <c r="D3" s="0" t="n">
        <v>134000</v>
      </c>
      <c r="E3" s="0" t="n">
        <v>120000</v>
      </c>
      <c r="F3" s="0" t="n">
        <v>119000</v>
      </c>
      <c r="G3" s="0" t="n">
        <v>120000</v>
      </c>
      <c r="H3" s="0" t="n">
        <v>120000</v>
      </c>
      <c r="I3" s="0" t="n">
        <v>120000</v>
      </c>
      <c r="J3" s="0" t="n">
        <v>145000</v>
      </c>
      <c r="K3" s="0" t="n">
        <f aca="false">C3+E3+G3+I3</f>
        <v>480000</v>
      </c>
      <c r="L3" s="0" t="n">
        <f aca="false">D3+F3+H3+J3</f>
        <v>518000</v>
      </c>
      <c r="M3" s="0" t="n">
        <f aca="false">L3-K3</f>
        <v>38000</v>
      </c>
    </row>
    <row r="4" customFormat="false" ht="15" hidden="false" customHeight="false" outlineLevel="0" collapsed="false">
      <c r="A4" s="0" t="s">
        <v>14</v>
      </c>
      <c r="B4" s="0" t="s">
        <v>16</v>
      </c>
      <c r="C4" s="0" t="n">
        <v>80000</v>
      </c>
      <c r="D4" s="0" t="n">
        <v>75000</v>
      </c>
      <c r="E4" s="0" t="n">
        <v>80000</v>
      </c>
      <c r="F4" s="0" t="n">
        <v>92000</v>
      </c>
      <c r="G4" s="0" t="n">
        <v>80000</v>
      </c>
      <c r="H4" s="0" t="n">
        <v>78000</v>
      </c>
      <c r="I4" s="0" t="n">
        <v>80000</v>
      </c>
      <c r="J4" s="0" t="n">
        <v>110000</v>
      </c>
      <c r="K4" s="0" t="n">
        <f aca="false">C4+E4+G4+I4</f>
        <v>320000</v>
      </c>
      <c r="L4" s="0" t="n">
        <f aca="false">D4+F4+H4+J4</f>
        <v>355000</v>
      </c>
      <c r="M4" s="0" t="n">
        <f aca="false">L4-K4</f>
        <v>35000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n">
        <v>200000</v>
      </c>
      <c r="D5" s="0" t="n">
        <v>187000</v>
      </c>
      <c r="E5" s="0" t="n">
        <v>200000</v>
      </c>
      <c r="F5" s="0" t="n">
        <v>230000</v>
      </c>
      <c r="G5" s="0" t="n">
        <v>200000</v>
      </c>
      <c r="H5" s="0" t="n">
        <v>195000</v>
      </c>
      <c r="I5" s="0" t="n">
        <v>200000</v>
      </c>
      <c r="J5" s="0" t="n">
        <v>210000</v>
      </c>
      <c r="K5" s="0" t="n">
        <f aca="false">C5+E5+G5+I5</f>
        <v>800000</v>
      </c>
      <c r="L5" s="0" t="n">
        <f aca="false">D5+F5+H5+J5</f>
        <v>822000</v>
      </c>
      <c r="M5" s="0" t="n">
        <f aca="false">L5-K5</f>
        <v>22000</v>
      </c>
    </row>
    <row r="6" customFormat="false" ht="15" hidden="false" customHeight="false" outlineLevel="0" collapsed="false">
      <c r="A6" s="0" t="s">
        <v>17</v>
      </c>
      <c r="B6" s="0" t="s">
        <v>19</v>
      </c>
      <c r="C6" s="0" t="n">
        <v>50000</v>
      </c>
      <c r="D6" s="0" t="n">
        <v>62000</v>
      </c>
      <c r="E6" s="0" t="n">
        <v>50000</v>
      </c>
      <c r="F6" s="0" t="n">
        <v>48000</v>
      </c>
      <c r="G6" s="0" t="n">
        <v>50000</v>
      </c>
      <c r="H6" s="0" t="n">
        <v>55000</v>
      </c>
      <c r="I6" s="0" t="n">
        <v>50000</v>
      </c>
      <c r="J6" s="0" t="n">
        <v>71000</v>
      </c>
      <c r="K6" s="0" t="n">
        <f aca="false">C6+E6+G6+I6</f>
        <v>200000</v>
      </c>
      <c r="L6" s="0" t="n">
        <f aca="false">D6+F6+H6+J6</f>
        <v>236000</v>
      </c>
      <c r="M6" s="0" t="n">
        <f aca="false">L6-K6</f>
        <v>36000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n">
        <v>40000</v>
      </c>
      <c r="D7" s="0" t="n">
        <v>38000</v>
      </c>
      <c r="E7" s="0" t="n">
        <v>40000</v>
      </c>
      <c r="F7" s="0" t="n">
        <v>45000</v>
      </c>
      <c r="G7" s="0" t="n">
        <v>40000</v>
      </c>
      <c r="H7" s="0" t="n">
        <v>40000</v>
      </c>
      <c r="I7" s="0" t="n">
        <v>40000</v>
      </c>
      <c r="J7" s="0" t="n">
        <v>52000</v>
      </c>
      <c r="K7" s="0" t="n">
        <f aca="false">C7+E7+G7+I7</f>
        <v>160000</v>
      </c>
      <c r="L7" s="0" t="n">
        <f aca="false">D7+F7+H7+J7</f>
        <v>175000</v>
      </c>
      <c r="M7" s="0" t="n">
        <f aca="false">L7-K7</f>
        <v>15000</v>
      </c>
    </row>
    <row r="8" customFormat="false" ht="15" hidden="false" customHeight="false" outlineLevel="0" collapsed="false">
      <c r="A8" s="0" t="s">
        <v>20</v>
      </c>
      <c r="B8" s="0" t="s">
        <v>22</v>
      </c>
      <c r="C8" s="0" t="n">
        <v>30000</v>
      </c>
      <c r="D8" s="0" t="n">
        <v>29000</v>
      </c>
      <c r="E8" s="0" t="n">
        <v>30000</v>
      </c>
      <c r="F8" s="0" t="n">
        <v>28000</v>
      </c>
      <c r="G8" s="0" t="n">
        <v>30000</v>
      </c>
      <c r="H8" s="0" t="n">
        <v>35000</v>
      </c>
      <c r="I8" s="0" t="n">
        <v>30000</v>
      </c>
      <c r="J8" s="0" t="n">
        <v>27000</v>
      </c>
      <c r="K8" s="0" t="n">
        <f aca="false">C8+E8+G8+I8</f>
        <v>120000</v>
      </c>
      <c r="L8" s="0" t="n">
        <f aca="false">D8+F8+H8+J8</f>
        <v>119000</v>
      </c>
      <c r="M8" s="0" t="n">
        <f aca="false">L8-K8</f>
        <v>-1000</v>
      </c>
    </row>
    <row r="9" customFormat="false" ht="15" hidden="false" customHeight="false" outlineLevel="0" collapsed="false">
      <c r="A9" s="0" t="s">
        <v>23</v>
      </c>
      <c r="B9" s="0" t="s">
        <v>24</v>
      </c>
      <c r="C9" s="0" t="n">
        <v>90000</v>
      </c>
      <c r="D9" s="0" t="n">
        <v>88000</v>
      </c>
      <c r="E9" s="0" t="n">
        <v>90000</v>
      </c>
      <c r="F9" s="0" t="n">
        <v>94000</v>
      </c>
      <c r="G9" s="0" t="n">
        <v>90000</v>
      </c>
      <c r="H9" s="0" t="n">
        <v>91000</v>
      </c>
      <c r="I9" s="0" t="n">
        <v>90000</v>
      </c>
      <c r="J9" s="0" t="n">
        <v>96000</v>
      </c>
      <c r="K9" s="0" t="n">
        <f aca="false">C9+E9+G9+I9</f>
        <v>360000</v>
      </c>
      <c r="L9" s="0" t="n">
        <f aca="false">D9+F9+H9+J9</f>
        <v>369000</v>
      </c>
      <c r="M9" s="0" t="n">
        <f aca="false">L9-K9</f>
        <v>9000</v>
      </c>
    </row>
    <row r="10" customFormat="false" ht="15" hidden="false" customHeight="false" outlineLevel="0" collapsed="false">
      <c r="A10" s="0" t="s">
        <v>23</v>
      </c>
      <c r="B10" s="0" t="s">
        <v>25</v>
      </c>
      <c r="C10" s="0" t="n">
        <v>25000</v>
      </c>
      <c r="D10" s="0" t="n">
        <v>27000</v>
      </c>
      <c r="E10" s="0" t="n">
        <v>25000</v>
      </c>
      <c r="F10" s="0" t="n">
        <v>24000</v>
      </c>
      <c r="G10" s="0" t="n">
        <v>25000</v>
      </c>
      <c r="H10" s="0" t="n">
        <v>26000</v>
      </c>
      <c r="I10" s="0" t="n">
        <v>25000</v>
      </c>
      <c r="J10" s="0" t="n">
        <v>31000</v>
      </c>
      <c r="K10" s="0" t="n">
        <f aca="false">C10+E10+G10+I10</f>
        <v>100000</v>
      </c>
      <c r="L10" s="0" t="n">
        <f aca="false">D10+F10+H10+J10</f>
        <v>108000</v>
      </c>
      <c r="M10" s="0" t="n">
        <f aca="false">L10-K10</f>
        <v>8000</v>
      </c>
    </row>
  </sheetData>
  <autoFilter ref="A2:M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3" t="s">
        <v>26</v>
      </c>
    </row>
    <row r="2" customFormat="false" ht="15" hidden="false" customHeight="false" outlineLevel="0" collapsed="false">
      <c r="A2" s="4" t="s">
        <v>27</v>
      </c>
      <c r="B2" s="4" t="s">
        <v>28</v>
      </c>
      <c r="C2" s="4" t="s">
        <v>2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</row>
    <row r="3" customFormat="false" ht="15" hidden="false" customHeight="false" outlineLevel="0" collapsed="false">
      <c r="A3" s="0" t="s">
        <v>34</v>
      </c>
      <c r="B3" s="0" t="s">
        <v>35</v>
      </c>
      <c r="C3" s="0" t="s">
        <v>25</v>
      </c>
      <c r="D3" s="0" t="n">
        <v>3200</v>
      </c>
      <c r="E3" s="0" t="s">
        <v>36</v>
      </c>
      <c r="F3" s="0" t="s">
        <v>37</v>
      </c>
      <c r="G3" s="0" t="s">
        <v>38</v>
      </c>
      <c r="H3" s="0" t="s">
        <v>39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24</v>
      </c>
      <c r="D4" s="0" t="n">
        <v>8500</v>
      </c>
      <c r="E4" s="0" t="s">
        <v>42</v>
      </c>
      <c r="F4" s="0" t="s">
        <v>37</v>
      </c>
      <c r="G4" s="0" t="s">
        <v>43</v>
      </c>
      <c r="H4" s="0" t="s">
        <v>44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21</v>
      </c>
      <c r="D5" s="0" t="n">
        <v>25000</v>
      </c>
      <c r="E5" s="0" t="s">
        <v>47</v>
      </c>
      <c r="F5" s="0" t="s">
        <v>37</v>
      </c>
      <c r="G5" s="0" t="s">
        <v>48</v>
      </c>
      <c r="H5" s="0" t="s">
        <v>49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s">
        <v>25</v>
      </c>
      <c r="D6" s="0" t="n">
        <v>4100</v>
      </c>
      <c r="E6" s="0" t="s">
        <v>36</v>
      </c>
      <c r="F6" s="0" t="s">
        <v>37</v>
      </c>
      <c r="G6" s="0" t="s">
        <v>52</v>
      </c>
      <c r="H6" s="0" t="s">
        <v>53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24</v>
      </c>
      <c r="D7" s="0" t="n">
        <v>42000</v>
      </c>
      <c r="E7" s="0" t="s">
        <v>42</v>
      </c>
      <c r="F7" s="0" t="s">
        <v>37</v>
      </c>
      <c r="G7" s="0" t="s">
        <v>56</v>
      </c>
      <c r="H7" s="0" t="s">
        <v>57</v>
      </c>
    </row>
    <row r="8" customFormat="false" ht="15" hidden="false" customHeight="false" outlineLevel="0" collapsed="false">
      <c r="A8" s="0" t="s">
        <v>58</v>
      </c>
      <c r="B8" s="0" t="s">
        <v>59</v>
      </c>
      <c r="C8" s="0" t="s">
        <v>60</v>
      </c>
      <c r="D8" s="0" t="n">
        <v>6500</v>
      </c>
      <c r="E8" s="0" t="s">
        <v>61</v>
      </c>
      <c r="F8" s="0" t="s">
        <v>37</v>
      </c>
      <c r="G8" s="0" t="s">
        <v>62</v>
      </c>
      <c r="H8" s="0" t="s">
        <v>63</v>
      </c>
    </row>
    <row r="9" customFormat="false" ht="15" hidden="false" customHeight="false" outlineLevel="0" collapsed="false">
      <c r="A9" s="0" t="s">
        <v>64</v>
      </c>
      <c r="B9" s="0" t="s">
        <v>65</v>
      </c>
      <c r="C9" s="0" t="s">
        <v>24</v>
      </c>
      <c r="D9" s="0" t="n">
        <v>3800</v>
      </c>
      <c r="E9" s="0" t="s">
        <v>42</v>
      </c>
      <c r="F9" s="0" t="s">
        <v>37</v>
      </c>
      <c r="G9" s="0" t="s">
        <v>66</v>
      </c>
      <c r="H9" s="0" t="s">
        <v>67</v>
      </c>
    </row>
    <row r="10" customFormat="false" ht="15" hidden="false" customHeight="false" outlineLevel="0" collapsed="false">
      <c r="A10" s="5" t="s">
        <v>68</v>
      </c>
      <c r="B10" s="5" t="s">
        <v>69</v>
      </c>
      <c r="C10" s="5" t="s">
        <v>21</v>
      </c>
      <c r="D10" s="5" t="n">
        <v>18000</v>
      </c>
      <c r="E10" s="5" t="s">
        <v>47</v>
      </c>
      <c r="F10" s="5" t="s">
        <v>70</v>
      </c>
      <c r="G10" s="5" t="s">
        <v>71</v>
      </c>
      <c r="H10" s="5" t="s">
        <v>72</v>
      </c>
    </row>
    <row r="11" customFormat="false" ht="15" hidden="false" customHeight="false" outlineLevel="0" collapsed="false">
      <c r="A11" s="0" t="s">
        <v>73</v>
      </c>
      <c r="B11" s="0" t="s">
        <v>74</v>
      </c>
      <c r="C11" s="0" t="s">
        <v>60</v>
      </c>
      <c r="D11" s="0" t="n">
        <v>55000</v>
      </c>
      <c r="E11" s="0" t="s">
        <v>75</v>
      </c>
      <c r="F11" s="0" t="s">
        <v>37</v>
      </c>
      <c r="G11" s="0" t="s">
        <v>76</v>
      </c>
      <c r="H11" s="0" t="s">
        <v>77</v>
      </c>
    </row>
    <row r="12" customFormat="false" ht="15" hidden="false" customHeight="false" outlineLevel="0" collapsed="false">
      <c r="A12" s="0" t="s">
        <v>78</v>
      </c>
      <c r="B12" s="0" t="s">
        <v>74</v>
      </c>
      <c r="C12" s="0" t="s">
        <v>60</v>
      </c>
      <c r="D12" s="0" t="n">
        <v>89000</v>
      </c>
      <c r="E12" s="0" t="s">
        <v>75</v>
      </c>
      <c r="F12" s="0" t="s">
        <v>37</v>
      </c>
      <c r="G12" s="0" t="s">
        <v>79</v>
      </c>
      <c r="H12" s="0" t="s">
        <v>80</v>
      </c>
    </row>
  </sheetData>
  <autoFilter ref="A2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2026-03-27T16:39:19Z</dcterms:created>
  <dc:creator>openpyxl</dc:creator>
  <dc:description/>
  <dc:language>en-US</dc:language>
  <cp:lastModifiedBy/>
  <dcterms:modified xsi:type="dcterms:W3CDTF">2026-03-27T16:39:19Z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