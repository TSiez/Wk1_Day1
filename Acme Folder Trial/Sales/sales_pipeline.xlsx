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Rep Performance" sheetId="2" state="visible" r:id="rId4"/>
  </sheets>
  <definedNames>
    <definedName function="false" hidden="true" localSheetId="0" name="_xlnm._FilterDatabase" vbProcedure="false">Pipeline!$A$2:$L$14</definedName>
    <definedName function="false" hidden="true" localSheetId="1" name="_xlnm._FilterDatabase" vbProcedure="false">'Rep Performance'!$A$2:$K$8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<sst xmlns="http://schemas.openxmlformats.org/spreadsheetml/2006/main" count="146" uniqueCount="110">
  <si>
    <t xml:space="preserve">SALES PIPELINE — Q1 2025 (data entry by multiple reps, messy)</t>
  </si>
  <si>
    <t xml:space="preserve">Deal ID</t>
  </si>
  <si>
    <t xml:space="preserve">Company</t>
  </si>
  <si>
    <t xml:space="preserve">Contact</t>
  </si>
  <si>
    <t xml:space="preserve">Rep</t>
  </si>
  <si>
    <t xml:space="preserve">Stage</t>
  </si>
  <si>
    <t xml:space="preserve">Deal Value (PHP)</t>
  </si>
  <si>
    <t xml:space="preserve">Probability %</t>
  </si>
  <si>
    <t xml:space="preserve">Expected Close</t>
  </si>
  <si>
    <t xml:space="preserve">Product</t>
  </si>
  <si>
    <t xml:space="preserve">Region</t>
  </si>
  <si>
    <t xml:space="preserve">Days in Stage</t>
  </si>
  <si>
    <t xml:space="preserve">Notes</t>
  </si>
  <si>
    <t xml:space="preserve">DL-001</t>
  </si>
  <si>
    <t xml:space="preserve">Ayala Corp</t>
  </si>
  <si>
    <t xml:space="preserve">Manny Reyes</t>
  </si>
  <si>
    <t xml:space="preserve">Santos</t>
  </si>
  <si>
    <t xml:space="preserve">Proposal</t>
  </si>
  <si>
    <t xml:space="preserve">2025-03-31</t>
  </si>
  <si>
    <t xml:space="preserve">CloudPro Suite</t>
  </si>
  <si>
    <t xml:space="preserve">Metro Manila</t>
  </si>
  <si>
    <t xml:space="preserve">Follow up on revised pricing</t>
  </si>
  <si>
    <t xml:space="preserve">DL-002</t>
  </si>
  <si>
    <t xml:space="preserve">SM Group</t>
  </si>
  <si>
    <t xml:space="preserve">Joy Tan</t>
  </si>
  <si>
    <t xml:space="preserve">Cruz</t>
  </si>
  <si>
    <t xml:space="preserve">Negotiation</t>
  </si>
  <si>
    <t xml:space="preserve">2025-02-28</t>
  </si>
  <si>
    <t xml:space="preserve">DataVault + Analytics</t>
  </si>
  <si>
    <t xml:space="preserve">Legal review ongoing</t>
  </si>
  <si>
    <t xml:space="preserve">DL-003</t>
  </si>
  <si>
    <t xml:space="preserve">Jollibee Foods</t>
  </si>
  <si>
    <t xml:space="preserve">Carlo Sy</t>
  </si>
  <si>
    <t xml:space="preserve">Mendoza</t>
  </si>
  <si>
    <t xml:space="preserve">Qualified</t>
  </si>
  <si>
    <t xml:space="preserve">2025-04-15</t>
  </si>
  <si>
    <t xml:space="preserve">TeamSync</t>
  </si>
  <si>
    <t xml:space="preserve">Luzon</t>
  </si>
  <si>
    <t xml:space="preserve">Need IT sign-off</t>
  </si>
  <si>
    <t xml:space="preserve">DL-004</t>
  </si>
  <si>
    <t xml:space="preserve">BDO Unibank</t>
  </si>
  <si>
    <t xml:space="preserve">Rosa Lim</t>
  </si>
  <si>
    <t xml:space="preserve">Bautista</t>
  </si>
  <si>
    <t xml:space="preserve">Closed Won</t>
  </si>
  <si>
    <t xml:space="preserve">2025-01-15</t>
  </si>
  <si>
    <t xml:space="preserve">SecureLink</t>
  </si>
  <si>
    <t xml:space="preserve">BOOKED — awaiting PO</t>
  </si>
  <si>
    <t xml:space="preserve">DL-005</t>
  </si>
  <si>
    <t xml:space="preserve">PLDT</t>
  </si>
  <si>
    <t xml:space="preserve">Alex Go</t>
  </si>
  <si>
    <t xml:space="preserve">Morales</t>
  </si>
  <si>
    <t xml:space="preserve">Prospect</t>
  </si>
  <si>
    <t xml:space="preserve">2025-05-30</t>
  </si>
  <si>
    <t xml:space="preserve">AutoReport</t>
  </si>
  <si>
    <t xml:space="preserve">Cold — needs nurturing</t>
  </si>
  <si>
    <t xml:space="preserve">DL-006</t>
  </si>
  <si>
    <t xml:space="preserve">Cebu Pacific</t>
  </si>
  <si>
    <t xml:space="preserve">Diana Uy</t>
  </si>
  <si>
    <t xml:space="preserve">Lim</t>
  </si>
  <si>
    <t xml:space="preserve">2025-03-15</t>
  </si>
  <si>
    <t xml:space="preserve">Visayas</t>
  </si>
  <si>
    <t xml:space="preserve">Price sensitivity issue</t>
  </si>
  <si>
    <t xml:space="preserve">DL-007</t>
  </si>
  <si>
    <t xml:space="preserve">Megaworld</t>
  </si>
  <si>
    <t xml:space="preserve">Tony Cruz</t>
  </si>
  <si>
    <t xml:space="preserve">2025-02-14</t>
  </si>
  <si>
    <t xml:space="preserve">Full Suite Bundle</t>
  </si>
  <si>
    <t xml:space="preserve">LARGEST DEAL in pipeline</t>
  </si>
  <si>
    <t xml:space="preserve">DL-008</t>
  </si>
  <si>
    <t xml:space="preserve">Globe Telecom</t>
  </si>
  <si>
    <t xml:space="preserve">Mary Ann</t>
  </si>
  <si>
    <t xml:space="preserve">2025-04-30</t>
  </si>
  <si>
    <t xml:space="preserve">DataVault</t>
  </si>
  <si>
    <t xml:space="preserve">Competing with Oracle</t>
  </si>
  <si>
    <t xml:space="preserve">DL-009</t>
  </si>
  <si>
    <t xml:space="preserve">Petron</t>
  </si>
  <si>
    <t xml:space="preserve">Sam Reyes</t>
  </si>
  <si>
    <t xml:space="preserve">2025-06-15</t>
  </si>
  <si>
    <t xml:space="preserve">Analytics Plus</t>
  </si>
  <si>
    <t xml:space="preserve">Intro call done</t>
  </si>
  <si>
    <t xml:space="preserve">DL-010</t>
  </si>
  <si>
    <t xml:space="preserve">Robinson's</t>
  </si>
  <si>
    <t xml:space="preserve">Luz Tan</t>
  </si>
  <si>
    <t xml:space="preserve">Closed Lost</t>
  </si>
  <si>
    <t xml:space="preserve">2025-01-31</t>
  </si>
  <si>
    <t xml:space="preserve">Lost to competitor — price</t>
  </si>
  <si>
    <t xml:space="preserve">DL-011</t>
  </si>
  <si>
    <t xml:space="preserve">Aboitiz Power</t>
  </si>
  <si>
    <t xml:space="preserve">Ken Sy</t>
  </si>
  <si>
    <t xml:space="preserve">2025-03-20</t>
  </si>
  <si>
    <t xml:space="preserve">SecureLink + DataVault</t>
  </si>
  <si>
    <t xml:space="preserve">Strong champion in IT</t>
  </si>
  <si>
    <t xml:space="preserve">DL-012</t>
  </si>
  <si>
    <t xml:space="preserve">LBC Express</t>
  </si>
  <si>
    <t xml:space="preserve">Pia Go</t>
  </si>
  <si>
    <t xml:space="preserve">2025-02-20</t>
  </si>
  <si>
    <t xml:space="preserve">Close to signed</t>
  </si>
  <si>
    <t xml:space="preserve">REP PERFORMANCE YTD — sort by Attainment % to find top/bottom</t>
  </si>
  <si>
    <t xml:space="preserve">Rep Name</t>
  </si>
  <si>
    <t xml:space="preserve">Q1 Target</t>
  </si>
  <si>
    <t xml:space="preserve">Q1 Actual</t>
  </si>
  <si>
    <t xml:space="preserve">Q2 Target</t>
  </si>
  <si>
    <t xml:space="preserve">Q2 Actual</t>
  </si>
  <si>
    <t xml:space="preserve">Q3 Target</t>
  </si>
  <si>
    <t xml:space="preserve">Q3 Actual</t>
  </si>
  <si>
    <t xml:space="preserve">YTD Target</t>
  </si>
  <si>
    <t xml:space="preserve">YTD Actual</t>
  </si>
  <si>
    <t xml:space="preserve">Attainment %</t>
  </si>
  <si>
    <t xml:space="preserve">Rank</t>
  </si>
  <si>
    <t xml:space="preserve">Luzon/Visayas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</si>
</sst>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0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595959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833C0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375623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33C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n">
        <v>2500000</v>
      </c>
      <c r="G3" s="0" t="n">
        <v>60</v>
      </c>
      <c r="H3" s="0" t="s">
        <v>18</v>
      </c>
      <c r="I3" s="0" t="s">
        <v>19</v>
      </c>
      <c r="J3" s="0" t="s">
        <v>20</v>
      </c>
      <c r="K3" s="0" t="n">
        <v>45</v>
      </c>
      <c r="L3" s="0" t="s">
        <v>21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n">
        <v>4800000</v>
      </c>
      <c r="G4" s="0" t="n">
        <v>80</v>
      </c>
      <c r="H4" s="0" t="s">
        <v>27</v>
      </c>
      <c r="I4" s="0" t="s">
        <v>28</v>
      </c>
      <c r="J4" s="0" t="s">
        <v>20</v>
      </c>
      <c r="K4" s="0" t="n">
        <v>12</v>
      </c>
      <c r="L4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0" t="s">
        <v>33</v>
      </c>
      <c r="E5" s="0" t="s">
        <v>34</v>
      </c>
      <c r="F5" s="0" t="n">
        <v>900000</v>
      </c>
      <c r="G5" s="0" t="n">
        <v>30</v>
      </c>
      <c r="H5" s="0" t="s">
        <v>35</v>
      </c>
      <c r="I5" s="0" t="s">
        <v>36</v>
      </c>
      <c r="J5" s="0" t="s">
        <v>37</v>
      </c>
      <c r="K5" s="0" t="n">
        <v>8</v>
      </c>
      <c r="L5" s="0" t="s">
        <v>38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41</v>
      </c>
      <c r="D6" s="0" t="s">
        <v>42</v>
      </c>
      <c r="E6" s="0" t="s">
        <v>43</v>
      </c>
      <c r="F6" s="0" t="n">
        <v>3200000</v>
      </c>
      <c r="G6" s="0" t="n">
        <v>100</v>
      </c>
      <c r="H6" s="0" t="s">
        <v>44</v>
      </c>
      <c r="I6" s="0" t="s">
        <v>45</v>
      </c>
      <c r="J6" s="0" t="s">
        <v>20</v>
      </c>
      <c r="K6" s="0" t="n">
        <v>0</v>
      </c>
      <c r="L6" s="0" t="s">
        <v>46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n">
        <v>500000</v>
      </c>
      <c r="G7" s="0" t="n">
        <v>10</v>
      </c>
      <c r="H7" s="0" t="s">
        <v>52</v>
      </c>
      <c r="I7" s="0" t="s">
        <v>53</v>
      </c>
      <c r="J7" s="0" t="s">
        <v>37</v>
      </c>
      <c r="K7" s="0" t="n">
        <v>3</v>
      </c>
      <c r="L7" s="0" t="s">
        <v>54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58</v>
      </c>
      <c r="E8" s="0" t="s">
        <v>17</v>
      </c>
      <c r="F8" s="0" t="n">
        <v>1800000</v>
      </c>
      <c r="G8" s="0" t="n">
        <v>50</v>
      </c>
      <c r="H8" s="0" t="s">
        <v>59</v>
      </c>
      <c r="I8" s="0" t="s">
        <v>19</v>
      </c>
      <c r="J8" s="0" t="s">
        <v>60</v>
      </c>
      <c r="K8" s="0" t="n">
        <v>22</v>
      </c>
      <c r="L8" s="0" t="s">
        <v>61</v>
      </c>
    </row>
    <row r="9" customFormat="false" ht="15" hidden="false" customHeight="false" outlineLevel="0" collapsed="false">
      <c r="A9" s="3" t="s">
        <v>62</v>
      </c>
      <c r="B9" s="3" t="s">
        <v>63</v>
      </c>
      <c r="C9" s="3" t="s">
        <v>64</v>
      </c>
      <c r="D9" s="3" t="s">
        <v>16</v>
      </c>
      <c r="E9" s="3" t="s">
        <v>26</v>
      </c>
      <c r="F9" s="3" t="n">
        <v>6500000</v>
      </c>
      <c r="G9" s="3" t="n">
        <v>75</v>
      </c>
      <c r="H9" s="3" t="s">
        <v>65</v>
      </c>
      <c r="I9" s="3" t="s">
        <v>66</v>
      </c>
      <c r="J9" s="3" t="s">
        <v>20</v>
      </c>
      <c r="K9" s="3" t="n">
        <v>18</v>
      </c>
      <c r="L9" s="3" t="s">
        <v>67</v>
      </c>
    </row>
    <row r="10" customFormat="false" ht="15" hidden="false" customHeight="false" outlineLevel="0" collapsed="false">
      <c r="A10" s="0" t="s">
        <v>68</v>
      </c>
      <c r="B10" s="0" t="s">
        <v>69</v>
      </c>
      <c r="C10" s="0" t="s">
        <v>70</v>
      </c>
      <c r="D10" s="0" t="s">
        <v>25</v>
      </c>
      <c r="E10" s="0" t="s">
        <v>34</v>
      </c>
      <c r="F10" s="0" t="n">
        <v>2100000</v>
      </c>
      <c r="G10" s="0" t="n">
        <v>40</v>
      </c>
      <c r="H10" s="0" t="s">
        <v>71</v>
      </c>
      <c r="I10" s="0" t="s">
        <v>72</v>
      </c>
      <c r="J10" s="0" t="s">
        <v>20</v>
      </c>
      <c r="K10" s="0" t="n">
        <v>31</v>
      </c>
      <c r="L10" s="0" t="s">
        <v>73</v>
      </c>
    </row>
    <row r="11" customFormat="false" ht="15" hidden="false" customHeight="false" outlineLevel="0" collapsed="false">
      <c r="A11" s="0" t="s">
        <v>74</v>
      </c>
      <c r="B11" s="0" t="s">
        <v>75</v>
      </c>
      <c r="C11" s="0" t="s">
        <v>76</v>
      </c>
      <c r="D11" s="0" t="s">
        <v>33</v>
      </c>
      <c r="E11" s="0" t="s">
        <v>51</v>
      </c>
      <c r="F11" s="0" t="n">
        <v>750000</v>
      </c>
      <c r="G11" s="0" t="n">
        <v>15</v>
      </c>
      <c r="H11" s="0" t="s">
        <v>77</v>
      </c>
      <c r="I11" s="0" t="s">
        <v>78</v>
      </c>
      <c r="J11" s="0" t="s">
        <v>37</v>
      </c>
      <c r="K11" s="0" t="n">
        <v>5</v>
      </c>
      <c r="L11" s="0" t="s">
        <v>79</v>
      </c>
    </row>
    <row r="12" customFormat="false" ht="15" hidden="false" customHeight="false" outlineLevel="0" collapsed="false">
      <c r="A12" s="4" t="s">
        <v>80</v>
      </c>
      <c r="B12" s="4" t="s">
        <v>81</v>
      </c>
      <c r="C12" s="4" t="s">
        <v>82</v>
      </c>
      <c r="D12" s="4" t="s">
        <v>42</v>
      </c>
      <c r="E12" s="4" t="s">
        <v>83</v>
      </c>
      <c r="F12" s="4" t="n">
        <v>1200000</v>
      </c>
      <c r="G12" s="4" t="n">
        <v>0</v>
      </c>
      <c r="H12" s="4" t="s">
        <v>84</v>
      </c>
      <c r="I12" s="4" t="s">
        <v>36</v>
      </c>
      <c r="J12" s="4" t="s">
        <v>20</v>
      </c>
      <c r="K12" s="4" t="n">
        <v>0</v>
      </c>
      <c r="L12" s="4" t="s">
        <v>85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88</v>
      </c>
      <c r="D13" s="0" t="s">
        <v>50</v>
      </c>
      <c r="E13" s="0" t="s">
        <v>17</v>
      </c>
      <c r="F13" s="0" t="n">
        <v>3900000</v>
      </c>
      <c r="G13" s="0" t="n">
        <v>55</v>
      </c>
      <c r="H13" s="0" t="s">
        <v>89</v>
      </c>
      <c r="I13" s="0" t="s">
        <v>90</v>
      </c>
      <c r="J13" s="0" t="s">
        <v>60</v>
      </c>
      <c r="K13" s="0" t="n">
        <v>14</v>
      </c>
      <c r="L13" s="0" t="s">
        <v>91</v>
      </c>
    </row>
    <row r="14" customFormat="false" ht="15" hidden="false" customHeight="false" outlineLevel="0" collapsed="false">
      <c r="A14" s="0" t="s">
        <v>92</v>
      </c>
      <c r="B14" s="0" t="s">
        <v>93</v>
      </c>
      <c r="C14" s="0" t="s">
        <v>94</v>
      </c>
      <c r="D14" s="0" t="s">
        <v>58</v>
      </c>
      <c r="E14" s="0" t="s">
        <v>26</v>
      </c>
      <c r="F14" s="0" t="n">
        <v>850000</v>
      </c>
      <c r="G14" s="0" t="n">
        <v>70</v>
      </c>
      <c r="H14" s="0" t="s">
        <v>95</v>
      </c>
      <c r="I14" s="0" t="s">
        <v>53</v>
      </c>
      <c r="J14" s="0" t="s">
        <v>37</v>
      </c>
      <c r="K14" s="0" t="n">
        <v>9</v>
      </c>
      <c r="L14" s="0" t="s">
        <v>96</v>
      </c>
    </row>
  </sheetData>
  <autoFilter ref="A2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5" hidden="false" customHeight="false" outlineLevel="0" collapsed="false">
      <c r="A1" s="5" t="s">
        <v>97</v>
      </c>
    </row>
    <row r="2" customFormat="false" ht="15" hidden="false" customHeight="false" outlineLevel="0" collapsed="false">
      <c r="A2" s="6" t="s">
        <v>98</v>
      </c>
      <c r="B2" s="6" t="s">
        <v>10</v>
      </c>
      <c r="C2" s="6" t="s">
        <v>99</v>
      </c>
      <c r="D2" s="6" t="s">
        <v>100</v>
      </c>
      <c r="E2" s="6" t="s">
        <v>101</v>
      </c>
      <c r="F2" s="6" t="s">
        <v>102</v>
      </c>
      <c r="G2" s="6" t="s">
        <v>103</v>
      </c>
      <c r="H2" s="6" t="s">
        <v>104</v>
      </c>
      <c r="I2" s="6" t="s">
        <v>105</v>
      </c>
      <c r="J2" s="6" t="s">
        <v>106</v>
      </c>
      <c r="K2" s="6" t="s">
        <v>107</v>
      </c>
      <c r="L2" s="6" t="s">
        <v>108</v>
      </c>
    </row>
    <row r="3" customFormat="false" ht="15" hidden="false" customHeight="false" outlineLevel="0" collapsed="false">
      <c r="A3" s="0" t="s">
        <v>16</v>
      </c>
      <c r="B3" s="0" t="s">
        <v>20</v>
      </c>
      <c r="C3" s="0" t="n">
        <v>3000000</v>
      </c>
      <c r="D3" s="0" t="n">
        <v>3450000</v>
      </c>
      <c r="E3" s="0" t="n">
        <v>3000000</v>
      </c>
      <c r="F3" s="0" t="n">
        <v>2800000</v>
      </c>
      <c r="G3" s="0" t="n">
        <v>3000000</v>
      </c>
      <c r="H3" s="0" t="n">
        <v>3200000</v>
      </c>
      <c r="I3" s="0" t="n">
        <f aca="false">C3+E3+G3</f>
        <v>9000000</v>
      </c>
      <c r="J3" s="0" t="n">
        <f aca="false">D3+F3+H3</f>
        <v>9450000</v>
      </c>
      <c r="K3" s="7" t="n">
        <f aca="false">J3/I3</f>
        <v>1.05</v>
      </c>
    </row>
    <row r="4" customFormat="false" ht="15" hidden="false" customHeight="false" outlineLevel="0" collapsed="false">
      <c r="A4" s="0" t="s">
        <v>25</v>
      </c>
      <c r="B4" s="0" t="s">
        <v>20</v>
      </c>
      <c r="C4" s="0" t="n">
        <v>3500000</v>
      </c>
      <c r="D4" s="0" t="n">
        <v>4100000</v>
      </c>
      <c r="E4" s="0" t="n">
        <v>3500000</v>
      </c>
      <c r="F4" s="0" t="n">
        <v>3800000</v>
      </c>
      <c r="G4" s="0" t="n">
        <v>3500000</v>
      </c>
      <c r="H4" s="0" t="n">
        <v>4200000</v>
      </c>
      <c r="I4" s="0" t="n">
        <f aca="false">C4+E4+G4</f>
        <v>10500000</v>
      </c>
      <c r="J4" s="0" t="n">
        <f aca="false">D4+F4+H4</f>
        <v>12100000</v>
      </c>
      <c r="K4" s="7" t="n">
        <f aca="false">J4/I4</f>
        <v>1.15238095238095</v>
      </c>
    </row>
    <row r="5" customFormat="false" ht="15" hidden="false" customHeight="false" outlineLevel="0" collapsed="false">
      <c r="A5" s="0" t="s">
        <v>33</v>
      </c>
      <c r="B5" s="0" t="s">
        <v>37</v>
      </c>
      <c r="C5" s="0" t="n">
        <v>2000000</v>
      </c>
      <c r="D5" s="0" t="n">
        <v>1650000</v>
      </c>
      <c r="E5" s="0" t="n">
        <v>2000000</v>
      </c>
      <c r="F5" s="0" t="n">
        <v>1800000</v>
      </c>
      <c r="G5" s="0" t="n">
        <v>2000000</v>
      </c>
      <c r="H5" s="0" t="n">
        <v>1900000</v>
      </c>
      <c r="I5" s="0" t="n">
        <f aca="false">C5+E5+G5</f>
        <v>6000000</v>
      </c>
      <c r="J5" s="0" t="n">
        <f aca="false">D5+F5+H5</f>
        <v>5350000</v>
      </c>
      <c r="K5" s="7" t="n">
        <f aca="false">J5/I5</f>
        <v>0.891666666666667</v>
      </c>
    </row>
    <row r="6" customFormat="false" ht="15" hidden="false" customHeight="false" outlineLevel="0" collapsed="false">
      <c r="A6" s="0" t="s">
        <v>42</v>
      </c>
      <c r="B6" s="0" t="s">
        <v>20</v>
      </c>
      <c r="C6" s="0" t="n">
        <v>2500000</v>
      </c>
      <c r="D6" s="0" t="n">
        <v>2400000</v>
      </c>
      <c r="E6" s="0" t="n">
        <v>2500000</v>
      </c>
      <c r="F6" s="0" t="n">
        <v>2600000</v>
      </c>
      <c r="G6" s="0" t="n">
        <v>2500000</v>
      </c>
      <c r="H6" s="0" t="n">
        <v>2300000</v>
      </c>
      <c r="I6" s="0" t="n">
        <f aca="false">C6+E6+G6</f>
        <v>7500000</v>
      </c>
      <c r="J6" s="0" t="n">
        <f aca="false">D6+F6+H6</f>
        <v>7300000</v>
      </c>
      <c r="K6" s="7" t="n">
        <f aca="false">J6/I6</f>
        <v>0.973333333333333</v>
      </c>
    </row>
    <row r="7" customFormat="false" ht="15" hidden="false" customHeight="false" outlineLevel="0" collapsed="false">
      <c r="A7" s="0" t="s">
        <v>50</v>
      </c>
      <c r="B7" s="0" t="s">
        <v>60</v>
      </c>
      <c r="C7" s="0" t="n">
        <v>1500000</v>
      </c>
      <c r="D7" s="0" t="n">
        <v>1200000</v>
      </c>
      <c r="E7" s="0" t="n">
        <v>1500000</v>
      </c>
      <c r="F7" s="0" t="n">
        <v>1350000</v>
      </c>
      <c r="G7" s="0" t="n">
        <v>1500000</v>
      </c>
      <c r="H7" s="0" t="n">
        <v>1100000</v>
      </c>
      <c r="I7" s="0" t="n">
        <f aca="false">C7+E7+G7</f>
        <v>4500000</v>
      </c>
      <c r="J7" s="0" t="n">
        <f aca="false">D7+F7+H7</f>
        <v>3650000</v>
      </c>
      <c r="K7" s="7" t="n">
        <f aca="false">J7/I7</f>
        <v>0.811111111111111</v>
      </c>
    </row>
    <row r="8" customFormat="false" ht="15" hidden="false" customHeight="false" outlineLevel="0" collapsed="false">
      <c r="A8" s="0" t="s">
        <v>58</v>
      </c>
      <c r="B8" s="0" t="s">
        <v>109</v>
      </c>
      <c r="C8" s="0" t="n">
        <v>2200000</v>
      </c>
      <c r="D8" s="0" t="n">
        <v>2500000</v>
      </c>
      <c r="E8" s="0" t="n">
        <v>2200000</v>
      </c>
      <c r="F8" s="0" t="n">
        <v>2400000</v>
      </c>
      <c r="G8" s="0" t="n">
        <v>2200000</v>
      </c>
      <c r="H8" s="0" t="n">
        <v>2600000</v>
      </c>
      <c r="I8" s="0" t="n">
        <f aca="false">C8+E8+G8</f>
        <v>6600000</v>
      </c>
      <c r="J8" s="0" t="n">
        <f aca="false">D8+F8+H8</f>
        <v>7500000</v>
      </c>
      <c r="K8" s="7" t="n">
        <f aca="false">J8/I8</f>
        <v>1.13636363636364</v>
      </c>
    </row>
  </sheetData>
  <autoFilter ref="A2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2026-03-27T16:39:19Z</dcterms:created>
  <dc:creator>openpyxl</dc:creator>
  <dc:description/>
  <dc:language>en-US</dc:language>
  <cp:lastModifiedBy/>
  <dcterms:modified xsi:type="dcterms:W3CDTF">2026-03-27T16:39:19Z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